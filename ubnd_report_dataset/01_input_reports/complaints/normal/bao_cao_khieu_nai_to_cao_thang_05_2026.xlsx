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0fef13222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hợp KNTC" sheetId="1" r:id="R02cf56dc500a46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"/>
    <x:numFmt numFmtId="202" formatCode="0.00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9C6500"/>
      <x:name val="Carlito"/>
    </x:font>
    <x:font>
      <x:b/>
      <x:sz val="11"/>
      <x:name val="Carlito"/>
    </x:font>
    <x:font>
      <x:b/>
      <x:sz val="10"/>
      <x:color rgb="FFFFFFFF"/>
      <x:name val="Arial"/>
    </x:font>
    <x:font>
      <x:b/>
      <x:sz val="10"/>
      <x:color rgb="FF9C6500"/>
      <x:name val="Arial"/>
    </x:font>
    <x:font>
      <x:sz val="10"/>
      <x:name val="Arial"/>
    </x:font>
    <x:font>
      <x:b/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</x:border>
    <x:border>
      <x:right/>
    </x:border>
  </x:borders>
  <x:cellStyleXfs count="1">
    <x:xf numFmtId="0" fontId="0" fillId="0" borderId="0"/>
  </x:cellStyleXfs>
  <x:cellXfs count="1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4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200" fontId="6" fillId="0" borderId="6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7" fillId="4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7" fillId="4" borderId="11" xfId="0" applyNumberFormat="1" applyFont="1" applyFill="1" applyBorder="1" applyAlignment="1">
      <x:alignment vertical="center" wrapText="1"/>
    </x:xf>
    <x:xf numFmtId="200" fontId="6" fillId="0" borderId="12" xfId="0" applyNumberFormat="1" applyFont="1" applyFill="1" applyBorder="1" applyAlignment="1">
      <x:alignment vertical="center" wrapText="1"/>
    </x:xf>
    <x:xf numFmtId="0" fontId="7" fillId="4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0" borderId="6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/>
    <x:xf numFmtId="201" fontId="4" fillId="5" borderId="3" xfId="0" applyNumberFormat="1" applyFont="1" applyFill="1" applyBorder="1" applyAlignment="1">
      <x:alignment horizontal="center"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201" fontId="6" fillId="0" borderId="1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/>
    <x:xf numFmtId="201" fontId="4" fillId="5" borderId="9" xfId="0" applyNumberFormat="1" applyFont="1" applyFill="1" applyBorder="1" applyAlignment="1">
      <x:alignment horizontal="center" vertical="center" wrapText="1"/>
    </x:xf>
    <x:xf numFmtId="202" fontId="6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a08cfb10c345ca" /><Relationship Type="http://schemas.openxmlformats.org/officeDocument/2006/relationships/theme" Target="/xl/theme/theme1.xml" Id="R808be2824ac247a3" /><Relationship Type="http://schemas.openxmlformats.org/officeDocument/2006/relationships/sharedStrings" Target="/xl/sharedStrings.xml" Id="R5820aa5a2b1543c7" /><Relationship Type="http://schemas.openxmlformats.org/officeDocument/2006/relationships/worksheet" Target="/xl/worksheets/sheet1.xml" Id="R02cf56dc500a46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14" hidden="0" customWidth="1"/>
    <x:col min="4" max="4" width="32" hidden="0" customWidth="1"/>
    <x:col min="1" max="1" width="38" hidden="0" customWidth="1"/>
    <x:col min="3" max="3" width="12" hidden="0" customWidth="1"/>
  </x:cols>
  <x:sheetData>
    <x:row r="1" ht="28" customHeight="1">
      <x:c r="A1" s="70" t="str">
        <x:v>BÁO CÁO TIẾP CÔNG DÂN, GIẢI QUYẾT KHIẾU NẠI - TỐ CÁO THÁNG 05/2026</x:v>
      </x:c>
      <x:c r="B1" s="70"/>
      <x:c r="C1" s="70"/>
      <x:c r="D1" s="70"/>
    </x:row>
    <x:row r="2">
      <x:c r="A2" s="71" t="str">
        <x:v>DỮ LIỆU GIẢ LẬP - CHỈ DÙNG KIỂM THỬ HỆ THỐNG</x:v>
      </x:c>
      <x:c r="B2" s="71"/>
      <x:c r="C2" s="71"/>
      <x:c r="D2" s="71"/>
    </x:row>
    <x:row r="3">
      <x:c r="A3" s="72"/>
      <x:c r="B3" s="72"/>
      <x:c r="C3" s="72"/>
      <x:c r="D3" s="72"/>
    </x:row>
    <x:row r="4">
      <x:c r="A4" s="73" t="str">
        <x:v>Đơn vị báo cáo</x:v>
      </x:c>
      <x:c r="B4" s="74" t="str">
        <x:v>UBND phường Thử Nghiệm</x:v>
      </x:c>
      <x:c r="C4" s="75" t="str">
        <x:v>Số báo cáo</x:v>
      </x:c>
      <x:c r="D4" s="76" t="str">
        <x:v>55/BC-UBND</x:v>
      </x:c>
    </x:row>
    <x:row r="5">
      <x:c r="A5" s="77" t="str">
        <x:v>Ngày ban hành</x:v>
      </x:c>
      <x:c r="B5" s="78" t="n">
        <x:v>46176</x:v>
      </x:c>
      <x:c r="C5" s="79" t="str">
        <x:v>Kỳ báo cáo</x:v>
      </x:c>
      <x:c r="D5" s="80" t="str">
        <x:v>01/05/2026 - 31/05/2026</x:v>
      </x:c>
    </x:row>
    <x:row r="6">
      <x:c r="A6" s="72"/>
      <x:c r="B6" s="72"/>
      <x:c r="C6" s="72"/>
      <x:c r="D6" s="72"/>
    </x:row>
    <x:row r="7">
      <x:c r="A7" s="102" t="str">
        <x:v>Chỉ tiêu</x:v>
      </x:c>
      <x:c r="B7" s="103" t="str">
        <x:v>Giá trị</x:v>
      </x:c>
      <x:c r="C7" s="103" t="str">
        <x:v>Đơn vị</x:v>
      </x:c>
      <x:c r="D7" s="104" t="str">
        <x:v>Ghi chú</x:v>
      </x:c>
    </x:row>
    <x:row r="8">
      <x:c r="A8" s="130" t="str">
        <x:v>Đơn tồn đầu kỳ</x:v>
      </x:c>
      <x:c r="B8" s="140" t="n">
        <x:v>25</x:v>
      </x:c>
      <x:c r="C8" s="131" t="str">
        <x:v>đơn</x:v>
      </x:c>
      <x:c r="D8" s="132" t="str"/>
    </x:row>
    <x:row r="9">
      <x:c r="A9" s="130" t="str">
        <x:v>Đơn tiếp nhận trong kỳ</x:v>
      </x:c>
      <x:c r="B9" s="140" t="n">
        <x:v>38</x:v>
      </x:c>
      <x:c r="C9" s="131" t="str">
        <x:v>đơn</x:v>
      </x:c>
      <x:c r="D9" s="132" t="str"/>
    </x:row>
    <x:row r="10">
      <x:c r="A10" s="130" t="str">
        <x:v>Đơn khiếu nại</x:v>
      </x:c>
      <x:c r="B10" s="140" t="n">
        <x:v>13</x:v>
      </x:c>
      <x:c r="C10" s="131" t="str">
        <x:v>đơn</x:v>
      </x:c>
      <x:c r="D10" s="132" t="str"/>
    </x:row>
    <x:row r="11">
      <x:c r="A11" s="130" t="str">
        <x:v>Đơn tố cáo</x:v>
      </x:c>
      <x:c r="B11" s="140" t="n">
        <x:v>6</x:v>
      </x:c>
      <x:c r="C11" s="131" t="str">
        <x:v>đơn</x:v>
      </x:c>
      <x:c r="D11" s="132" t="str"/>
    </x:row>
    <x:row r="12">
      <x:c r="A12" s="130" t="str">
        <x:v>Đơn kiến nghị/phản ánh</x:v>
      </x:c>
      <x:c r="B12" s="140" t="n">
        <x:v>19</x:v>
      </x:c>
      <x:c r="C12" s="131" t="str">
        <x:v>đơn</x:v>
      </x:c>
      <x:c r="D12" s="132" t="str"/>
    </x:row>
    <x:row r="13">
      <x:c r="A13" s="130" t="str">
        <x:v>Đơn thuộc thẩm quyền</x:v>
      </x:c>
      <x:c r="B13" s="140" t="n">
        <x:v>29</x:v>
      </x:c>
      <x:c r="C13" s="131" t="str">
        <x:v>đơn</x:v>
      </x:c>
      <x:c r="D13" s="132" t="str"/>
    </x:row>
    <x:row r="14">
      <x:c r="A14" s="130" t="str">
        <x:v>Đơn không thuộc thẩm quyền</x:v>
      </x:c>
      <x:c r="B14" s="140" t="n">
        <x:v>9</x:v>
      </x:c>
      <x:c r="C14" s="131" t="str">
        <x:v>đơn</x:v>
      </x:c>
      <x:c r="D14" s="132" t="str"/>
    </x:row>
    <x:row r="15">
      <x:c r="A15" s="130" t="str">
        <x:v>Đơn đã giải quyết</x:v>
      </x:c>
      <x:c r="B15" s="140" t="n">
        <x:v>41</x:v>
      </x:c>
      <x:c r="C15" s="131" t="str">
        <x:v>đơn</x:v>
      </x:c>
      <x:c r="D15" s="132" t="str">
        <x:v>Bao gồm tồn đầu kỳ</x:v>
      </x:c>
    </x:row>
    <x:row r="16">
      <x:c r="A16" s="130" t="str">
        <x:v>Đơn tồn cuối kỳ</x:v>
      </x:c>
      <x:c r="B16" s="140" t="n">
        <x:f>B8+B9-B15</x:f>
        <x:v>22</x:v>
      </x:c>
      <x:c r="C16" s="131" t="str">
        <x:v>đơn</x:v>
      </x:c>
      <x:c r="D16" s="132" t="str">
        <x:v>Tồn đầu + tiếp nhận - đã giải quyết</x:v>
      </x:c>
    </x:row>
    <x:row r="17">
      <x:c r="A17" s="130" t="str">
        <x:v>Số lượt tiếp công dân</x:v>
      </x:c>
      <x:c r="B17" s="140" t="n">
        <x:v>61</x:v>
      </x:c>
      <x:c r="C17" s="131" t="str">
        <x:v>lượt</x:v>
      </x:c>
      <x:c r="D17" s="132" t="str"/>
    </x:row>
    <x:row r="18">
      <x:c r="A18" s="130" t="str">
        <x:v>Số người được tiếp</x:v>
      </x:c>
      <x:c r="B18" s="140" t="n">
        <x:v>67</x:v>
      </x:c>
      <x:c r="C18" s="131" t="str">
        <x:v>người</x:v>
      </x:c>
      <x:c r="D18" s="132" t="str"/>
    </x:row>
    <x:row r="19">
      <x:c r="A19" s="133" t="str">
        <x:v>Vụ việc đông người</x:v>
      </x:c>
      <x:c r="B19" s="141" t="n">
        <x:v>1</x:v>
      </x:c>
      <x:c r="C19" s="134" t="str">
        <x:v>vụ việc</x:v>
      </x:c>
      <x:c r="D19" s="80" t="str"/>
    </x:row>
    <x:row r="20">
      <x:c r="A20" s="72"/>
      <x:c r="B20" s="142"/>
      <x:c r="C20" s="72"/>
      <x:c r="D20" s="72"/>
    </x:row>
    <x:row r="21">
      <x:c r="A21" s="102" t="str">
        <x:v>Chỉ số kiểm tra</x:v>
      </x:c>
      <x:c r="B21" s="143" t="str">
        <x:v>Kết quả</x:v>
      </x:c>
      <x:c r="C21" s="103" t="str">
        <x:v>Đơn vị</x:v>
      </x:c>
      <x:c r="D21" s="104" t="str">
        <x:v>Trạng thái</x:v>
      </x:c>
    </x:row>
    <x:row r="22">
      <x:c r="A22" s="130" t="str">
        <x:v>Tổng loại đơn - tổng tiếp nhận</x:v>
      </x:c>
      <x:c r="B22" s="140" t="n">
        <x:f>SUM(B10:B12)-B9</x:f>
        <x:v>0</x:v>
      </x:c>
      <x:c r="C22" s="131" t="str">
        <x:v>đơn</x:v>
      </x:c>
      <x:c r="D22" s="132" t="str">
        <x:f>IF(B22=0,"Hợp lệ","Không khớp")</x:f>
        <x:v>Hợp lệ</x:v>
      </x:c>
    </x:row>
    <x:row r="23">
      <x:c r="A23" s="130" t="str">
        <x:v>Thuộc + không thuộc thẩm quyền - tổng tiếp nhận</x:v>
      </x:c>
      <x:c r="B23" s="140" t="n">
        <x:f>SUM(B13:B14)-B9</x:f>
        <x:v>0</x:v>
      </x:c>
      <x:c r="C23" s="131" t="str">
        <x:v>đơn</x:v>
      </x:c>
      <x:c r="D23" s="132" t="str">
        <x:f>IF(B23=0,"Hợp lệ","Không khớp")</x:f>
        <x:v>Hợp lệ</x:v>
      </x:c>
    </x:row>
    <x:row r="24">
      <x:c r="A24" s="133" t="str">
        <x:v>Tỷ lệ giải quyết</x:v>
      </x:c>
      <x:c r="B24" s="148" t="n">
        <x:f>B15/(B8+B9)*100</x:f>
        <x:v>65.07936507936508</x:v>
      </x:c>
      <x:c r="C24" s="134" t="str">
        <x:v>%</x:v>
      </x:c>
      <x:c r="D24" s="80" t="str">
        <x:f>IF(B24&lt;=100,"Hợp lệ","Không hợp lệ")</x:f>
        <x:v>Hợp lệ</x:v>
      </x:c>
    </x:row>
    <x:row r="25">
      <x:c r="A25" s="72"/>
      <x:c r="B25" s="72"/>
      <x:c r="C25" s="72"/>
      <x:c r="D25" s="72"/>
    </x:row>
    <x:row r="26">
      <x:c r="A26" s="72"/>
      <x:c r="B26" s="72"/>
      <x:c r="C26" s="72"/>
      <x:c r="D26" s="72"/>
    </x:row>
    <x:row r="27">
      <x:c r="A27" s="72"/>
      <x:c r="B27" s="72"/>
      <x:c r="C27" s="72"/>
      <x:c r="D27" s="72"/>
    </x:row>
    <x:row r="28">
      <x:c r="A28" s="72"/>
      <x:c r="B28" s="72"/>
      <x:c r="C28" s="72"/>
      <x:c r="D28" s="72"/>
    </x:row>
    <x:row r="29">
      <x:c r="A29" s="72"/>
      <x:c r="B29" s="72"/>
      <x:c r="C29" s="72"/>
      <x:c r="D29" s="72"/>
    </x:row>
    <x:row r="30">
      <x:c r="A30" s="72"/>
      <x:c r="B30" s="72"/>
      <x:c r="C30" s="72"/>
      <x:c r="D30" s="72"/>
    </x:row>
    <x:row r="31">
      <x:c r="A31" s="72"/>
      <x:c r="B31" s="72"/>
      <x:c r="C31" s="72"/>
      <x:c r="D31" s="72"/>
    </x:row>
    <x:row r="32">
      <x:c r="A32" s="72"/>
      <x:c r="B32" s="72"/>
      <x:c r="C32" s="72"/>
      <x:c r="D32" s="72"/>
    </x:row>
    <x:row r="33">
      <x:c r="A33" s="72"/>
      <x:c r="B33" s="72"/>
      <x:c r="C33" s="72"/>
      <x:c r="D33" s="72"/>
    </x:row>
    <x:row r="34">
      <x:c r="A34" s="72"/>
      <x:c r="B34" s="72"/>
      <x:c r="C34" s="72"/>
      <x:c r="D34" s="72"/>
    </x:row>
    <x:row r="35">
      <x:c r="A35" s="72"/>
      <x:c r="B35" s="72"/>
      <x:c r="C35" s="72"/>
      <x:c r="D35" s="72"/>
    </x:row>
    <x:row r="36">
      <x:c r="A36" s="72"/>
      <x:c r="B36" s="72"/>
      <x:c r="C36" s="72"/>
      <x:c r="D36" s="72"/>
    </x:row>
    <x:row r="37">
      <x:c r="A37" s="72"/>
      <x:c r="B37" s="72"/>
      <x:c r="C37" s="72"/>
      <x:c r="D37" s="72"/>
    </x:row>
    <x:row r="38">
      <x:c r="A38" s="72"/>
      <x:c r="B38" s="72"/>
      <x:c r="C38" s="72"/>
      <x:c r="D38" s="72"/>
    </x:row>
    <x:row r="39">
      <x:c r="A39" s="72"/>
      <x:c r="B39" s="72"/>
      <x:c r="C39" s="72"/>
      <x:c r="D39" s="72"/>
    </x:row>
    <x:row r="40">
      <x:c r="A40" s="72"/>
      <x:c r="B40" s="72"/>
      <x:c r="C40" s="72"/>
      <x:c r="D40" s="72"/>
    </x:row>
  </x:sheetData>
  <x:mergeCells>
    <x:mergeCell ref="A1:D1"/>
    <x:mergeCell ref="A2:D2"/>
  </x:mergeCells>
  <x:pageMargins left="0.7" right="0.7" top="0.75" bottom="0.75" header="0.3" footer="0.3"/>
</x:worksheet>
</file>